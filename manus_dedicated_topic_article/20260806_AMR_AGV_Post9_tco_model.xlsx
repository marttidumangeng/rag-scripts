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and Model" sheetId="1" state="visible" r:id="rId1"/>
    <sheet xmlns:r="http://schemas.openxmlformats.org/officeDocument/2006/relationships" name="Source Ledger" sheetId="2" state="visible" r:id="rId2"/>
    <sheet xmlns:r="http://schemas.openxmlformats.org/officeDocument/2006/relationships" name="Analytica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74" customWidth="1" min="3" max="3"/>
  </cols>
  <sheetData>
    <row r="1">
      <c r="A1" s="1" t="inlineStr">
        <is>
          <t>AMR / AGV Illustrative Five-Year TCO Model</t>
        </is>
      </c>
      <c r="B1" s="2" t="n"/>
      <c r="C1" s="2" t="n"/>
    </row>
    <row r="2">
      <c r="A2" s="2" t="n"/>
      <c r="B2" s="2" t="n"/>
      <c r="C2" s="2" t="n"/>
    </row>
    <row r="3">
      <c r="A3" s="1" t="inlineStr">
        <is>
          <t>Input / line item</t>
        </is>
      </c>
      <c r="B3" s="1" t="inlineStr">
        <is>
          <t>Value (USD)</t>
        </is>
      </c>
      <c r="C3" s="1" t="inlineStr">
        <is>
          <t>Method / limitation</t>
        </is>
      </c>
    </row>
    <row r="4">
      <c r="A4" s="2" t="inlineStr">
        <is>
          <t>Fleet sticker price</t>
        </is>
      </c>
      <c r="B4" s="3" t="n">
        <v>500000</v>
      </c>
      <c r="C4" s="2" t="inlineStr">
        <is>
          <t>5 robots x $100,000 illustrative unit assumption</t>
        </is>
      </c>
    </row>
    <row r="5">
      <c r="A5" s="2" t="inlineStr">
        <is>
          <t>Integration and site preparation</t>
        </is>
      </c>
      <c r="B5" s="3" t="n">
        <v>150000</v>
      </c>
      <c r="C5" s="2" t="inlineStr">
        <is>
          <t>Illustrative allowance for interfaces, maps, traffic, electrical, safety validation, commissioning</t>
        </is>
      </c>
    </row>
    <row r="6">
      <c r="A6" s="2" t="inlineStr">
        <is>
          <t>Training and change management</t>
        </is>
      </c>
      <c r="B6" s="3" t="n">
        <v>25000</v>
      </c>
      <c r="C6" s="2" t="inlineStr">
        <is>
          <t>Illustrative allowance for multi-shift onboarding and procedures</t>
        </is>
      </c>
    </row>
    <row r="7">
      <c r="A7" s="2" t="inlineStr">
        <is>
          <t>Annual maintenance and support</t>
        </is>
      </c>
      <c r="B7" s="3" t="n">
        <v>60000</v>
      </c>
      <c r="C7" s="2" t="inlineStr">
        <is>
          <t>Illustrative annual reserve, not a vendor quote</t>
        </is>
      </c>
    </row>
    <row r="8">
      <c r="A8" s="2" t="inlineStr">
        <is>
          <t>Battery and charging reserve in year 3</t>
        </is>
      </c>
      <c r="B8" s="3" t="n">
        <v>50000</v>
      </c>
      <c r="C8" s="2" t="inlineStr">
        <is>
          <t>Illustrative reserve; chemistry and duty cycle are site-specific</t>
        </is>
      </c>
    </row>
    <row r="9">
      <c r="A9" s="2" t="inlineStr">
        <is>
          <t>Planned upgrade reserve in year 4</t>
        </is>
      </c>
      <c r="B9" s="3" t="n">
        <v>50000</v>
      </c>
      <c r="C9" s="2" t="inlineStr">
        <is>
          <t>Illustrative software/hardware refresh reserve</t>
        </is>
      </c>
    </row>
    <row r="10">
      <c r="A10" s="2" t="inlineStr">
        <is>
          <t>Annual downtime and productivity reserve</t>
        </is>
      </c>
      <c r="B10" s="3" t="n">
        <v>40000</v>
      </c>
      <c r="C10" s="2" t="inlineStr">
        <is>
          <t>Illustrative planning reserve; sensitivity tested separately</t>
        </is>
      </c>
    </row>
    <row r="11">
      <c r="A11" s="2" t="n"/>
      <c r="B11" s="2" t="n"/>
      <c r="C11" s="2" t="n"/>
    </row>
    <row r="12">
      <c r="A12" s="4" t="inlineStr">
        <is>
          <t>Calculated outputs</t>
        </is>
      </c>
      <c r="B12" s="2" t="n"/>
      <c r="C12" s="2" t="n"/>
    </row>
    <row r="13">
      <c r="A13" s="2" t="inlineStr">
        <is>
          <t>Five-year maintenance and support</t>
        </is>
      </c>
      <c r="B13" s="3">
        <f>B7*5</f>
        <v/>
      </c>
      <c r="C13" s="2" t="n"/>
    </row>
    <row r="14">
      <c r="A14" s="2" t="inlineStr">
        <is>
          <t>Five-year downtime and productivity reserve</t>
        </is>
      </c>
      <c r="B14" s="3">
        <f>B10*5</f>
        <v/>
      </c>
      <c r="C14" s="2" t="n"/>
    </row>
    <row r="15">
      <c r="A15" s="2" t="inlineStr">
        <is>
          <t>Five-year TCO</t>
        </is>
      </c>
      <c r="B15" s="3">
        <f>SUM(B4:B6)+B13+B8+B9+B14</f>
        <v/>
      </c>
      <c r="C15" s="2" t="n"/>
    </row>
    <row r="16">
      <c r="A16" s="2" t="inlineStr">
        <is>
          <t>TCO / fleet sticker price</t>
        </is>
      </c>
      <c r="B16" s="5">
        <f>B15/B4</f>
        <v/>
      </c>
      <c r="C16" s="2" t="n"/>
    </row>
    <row r="17">
      <c r="A17" s="2" t="n"/>
      <c r="B17" s="2" t="n"/>
      <c r="C17" s="2" t="n"/>
    </row>
    <row r="18">
      <c r="A18" s="4" t="inlineStr">
        <is>
          <t>Sensitivity</t>
        </is>
      </c>
      <c r="B18" s="2" t="n"/>
      <c r="C18" s="2" t="n"/>
    </row>
    <row r="19">
      <c r="A19" s="1" t="inlineStr">
        <is>
          <t>Annual downtime reserve</t>
        </is>
      </c>
      <c r="B19" s="1" t="inlineStr">
        <is>
          <t>Five-year TCO</t>
        </is>
      </c>
      <c r="C19" s="1" t="n"/>
    </row>
    <row r="20">
      <c r="A20" s="3" t="n">
        <v>20000</v>
      </c>
      <c r="B20" s="3" t="n">
        <v>1175000</v>
      </c>
      <c r="C20" s="2" t="n"/>
    </row>
    <row r="21">
      <c r="A21" s="3" t="n">
        <v>40000</v>
      </c>
      <c r="B21" s="3" t="n">
        <v>1275000</v>
      </c>
      <c r="C21" s="2" t="n"/>
    </row>
    <row r="22">
      <c r="A22" s="3" t="n">
        <v>80000</v>
      </c>
      <c r="B22" s="3" t="n">
        <v>1475000</v>
      </c>
      <c r="C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70" customWidth="1" min="3" max="3"/>
    <col width="55" customWidth="1" min="4" max="4"/>
  </cols>
  <sheetData>
    <row r="1">
      <c r="A1" s="1" t="inlineStr">
        <is>
          <t>Source / URL</t>
        </is>
      </c>
      <c r="B1" s="1" t="inlineStr">
        <is>
          <t>Tier</t>
        </is>
      </c>
      <c r="C1" s="1" t="inlineStr">
        <is>
          <t>Verified claim or use</t>
        </is>
      </c>
      <c r="D1" s="1" t="inlineStr">
        <is>
          <t>Limitation</t>
        </is>
      </c>
    </row>
    <row r="2">
      <c r="A2" s="2" t="inlineStr">
        <is>
          <t>ISO 3691-4:2020 | https://www.iso.org/standard/70660.html</t>
        </is>
      </c>
      <c r="B2" s="2" t="inlineStr">
        <is>
          <t>Tier 1 standards body</t>
        </is>
      </c>
      <c r="C2" s="2" t="inlineStr">
        <is>
          <t>2020 edition is withdrawn; ISO 3691-4:2023 is the replacement; power-source requirements are not covered in the 2020 document.</t>
        </is>
      </c>
      <c r="D2" s="2" t="inlineStr">
        <is>
          <t>Do not infer compliance from a copied standard reference.</t>
        </is>
      </c>
    </row>
    <row r="3">
      <c r="A3" s="2" t="inlineStr">
        <is>
          <t>ANSI/A3 R15.08-3-2026 | https://www.automate.org/store/products/ansi-a3-r15-08-3-2026-american-national-standard-for-industrial-mobile-robots-safety-requirements-part-3-use-of-imr-applications-pdf-download</t>
        </is>
      </c>
      <c r="B3" s="2" t="inlineStr">
        <is>
          <t>Tier 1 standards body</t>
        </is>
      </c>
      <c r="C3" s="2" t="inlineStr">
        <is>
          <t>Published April 23, 2026; emphasizes user risk assessment, management of change, and lifecycle safety.</t>
        </is>
      </c>
      <c r="D3" s="2" t="inlineStr">
        <is>
          <t>Official product description; standard text is paywalled.</t>
        </is>
      </c>
    </row>
    <row r="4">
      <c r="A4" s="2" t="inlineStr">
        <is>
          <t>EUR-Lex Regulation (EU) 2023/1230 | https://eur-lex.europa.eu/eli/reg/2023/1230/oj</t>
        </is>
      </c>
      <c r="B4" s="2" t="inlineStr">
        <is>
          <t>Tier 1 government/legal</t>
        </is>
      </c>
      <c r="C4" s="2" t="inlineStr">
        <is>
          <t>Current consolidated version dated July 27, 2026; machinery safety and conformity framework.</t>
        </is>
      </c>
      <c r="D4" s="2" t="inlineStr">
        <is>
          <t>Not legal advice or a machine-specific applicability determination.</t>
        </is>
      </c>
    </row>
    <row r="5">
      <c r="A5" s="2" t="inlineStr">
        <is>
          <t>OSHA Robotics | https://www.osha.gov/robotics</t>
        </is>
      </c>
      <c r="B5" s="2" t="inlineStr">
        <is>
          <t>Tier 1 government</t>
        </is>
      </c>
      <c r="C5" s="2" t="inlineStr">
        <is>
          <t>No specific OSHA robotics standard; non-routine operations are highlighted as accident-risk conditions.</t>
        </is>
      </c>
      <c r="D5" s="2" t="inlineStr">
        <is>
          <t>Broad robotics guidance, not a cost schedule.</t>
        </is>
      </c>
    </row>
    <row r="6">
      <c r="A6" s="2" t="inlineStr">
        <is>
          <t>BLS Hand Laborers and Material Movers | https://www.bls.gov/ooh/transportation-and-material-moving/hand-laborers-and-material-movers.htm</t>
        </is>
      </c>
      <c r="B6" s="2" t="inlineStr">
        <is>
          <t>Tier 1 government statistics</t>
        </is>
      </c>
      <c r="C6" s="2" t="inlineStr">
        <is>
          <t>$37,680 annual median pay or $18.12 per hour in 2024.</t>
        </is>
      </c>
      <c r="D6" s="2" t="inlineStr">
        <is>
          <t>U.S. wage benchmark; excludes full employer burden.</t>
        </is>
      </c>
    </row>
    <row r="7">
      <c r="A7" s="2" t="inlineStr">
        <is>
          <t>Geek+ / OMLOG | https://www.geekplus.com/resources/news/omlog</t>
        </is>
      </c>
      <c r="B7" s="2" t="inlineStr">
        <is>
          <t>Tier 2 company announcement</t>
        </is>
      </c>
      <c r="C7" s="2" t="inlineStr">
        <is>
          <t>Vendor reports &gt;1,000 shelves, 70,000 square feet, WMS/RMS integration, and &gt;2x productivity.</t>
        </is>
      </c>
      <c r="D7" s="2" t="inlineStr">
        <is>
          <t>Self-reported case; not a universal ROI benchmark.</t>
        </is>
      </c>
    </row>
    <row r="8">
      <c r="A8" s="2" t="inlineStr">
        <is>
          <t>Geek+ / Schneider | https://www.geekplus.com/resources/news/geekwins-2026-rbr50-innovation-award-for-robot-arm-picking-station</t>
        </is>
      </c>
      <c r="B8" s="2" t="inlineStr">
        <is>
          <t>Tier 2 company announcement</t>
        </is>
      </c>
      <c r="C8" s="2" t="inlineStr">
        <is>
          <t>Vendor reports 48-hour production readiness and &gt;=99.99% accuracy for a picking station.</t>
        </is>
      </c>
      <c r="D8" s="2" t="inlineStr">
        <is>
          <t>Boundary example, not pure AMR transport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Analytical note</t>
        </is>
      </c>
      <c r="B1" s="1" t="inlineStr">
        <is>
          <t>Detail</t>
        </is>
      </c>
    </row>
    <row r="2">
      <c r="A2" s="2" t="inlineStr">
        <is>
          <t>Analytical layer</t>
        </is>
      </c>
      <c r="B2" s="2" t="inlineStr">
        <is>
          <t>Scope-adjusted five-year TCO bridge separating vehicle capex, project delivery, workforce readiness, recurring service, risk reserve, and mid-life refresh.</t>
        </is>
      </c>
    </row>
    <row r="3">
      <c r="A3" s="2" t="inlineStr">
        <is>
          <t>Model status</t>
        </is>
      </c>
      <c r="B3" s="2" t="inlineStr">
        <is>
          <t>Illustrative procurement scenario, not a market-price survey or vendor quotation.</t>
        </is>
      </c>
    </row>
    <row r="4">
      <c r="A4" s="2" t="inlineStr">
        <is>
          <t>Key limitation</t>
        </is>
      </c>
      <c r="B4" s="2" t="inlineStr">
        <is>
          <t>Replace assumptions with site-specific quotes, throughput, staffing, uptime, service-level, finance, tax, inflation, salvage, and residual-value data before approval.</t>
        </is>
      </c>
    </row>
    <row r="5">
      <c r="A5" s="2" t="inlineStr">
        <is>
          <t>BLS use</t>
        </is>
      </c>
      <c r="B5" s="2" t="inlineStr">
        <is>
          <t>BLS wage is shown as an external U.S. reference; model uses a separate $28/hour loaded-labour assumption and does not claim the BLS figure is global.</t>
        </is>
      </c>
    </row>
    <row r="6">
      <c r="A6" s="2" t="inlineStr">
        <is>
          <t>Sensitivity method</t>
        </is>
      </c>
      <c r="B6" s="2" t="inlineStr">
        <is>
          <t>Annual downtime reserve is varied from $20,000 to $80,000; each $10,000 annual change moves five-year TCO by $50,000.</t>
        </is>
      </c>
    </row>
    <row r="7">
      <c r="A7" s="2" t="inlineStr">
        <is>
          <t>Information cut-off</t>
        </is>
      </c>
      <c r="B7" s="2" t="inlineStr">
        <is>
          <t>2026-08-06 Asia Shanghai.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2026-08-06T10:17:31Z</dcterms:created>
  <dcterms:modified xmlns:dcterms="http://purl.org/dc/terms/" xmlns:xsi="http://www.w3.org/2001/XMLSchema-instance" xsi:type="dcterms:W3CDTF">2026-08-06T10:17:31Z</dcterms:modified>
</cp:coreProperties>
</file>